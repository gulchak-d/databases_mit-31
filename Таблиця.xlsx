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Victus\OneDrive\Рабочий стол\Бази даних та інформаційні системи\Lab_9\"/>
    </mc:Choice>
  </mc:AlternateContent>
  <xr:revisionPtr revIDLastSave="0" documentId="8_{C73D4EBC-75F2-480E-BD72-27C357567A7B}" xr6:coauthVersionLast="36" xr6:coauthVersionMax="36" xr10:uidLastSave="{00000000-0000-0000-0000-000000000000}"/>
  <bookViews>
    <workbookView xWindow="0" yWindow="0" windowWidth="23040" windowHeight="8940" xr2:uid="{8361761F-F604-4095-941A-965F8D7E8F46}"/>
  </bookViews>
  <sheets>
    <sheet name="Аркуш3" sheetId="3" r:id="rId1"/>
    <sheet name="Аркуш2" sheetId="2" r:id="rId2"/>
    <sheet name="Аркуш1" sheetId="1" r:id="rId3"/>
  </sheets>
  <definedNames>
    <definedName name="ExternalData_1" localSheetId="1" hidden="1">Аркуш2!$A$1:$H$51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59294D-B355-4368-9FA9-C1DAF22A8F87}" keepAlive="1" name="Запит – orders_summary" description="Підключення до запита &quot;orders_summary&quot; у книзі." type="5" refreshedVersion="6" background="1" saveData="1">
    <dbPr connection="Provider=Microsoft.Mashup.OleDb.1;Data Source=$Workbook$;Location=orders_summary;Extended Properties=&quot;&quot;" command="SELECT * FROM [orders_summary]"/>
  </connection>
</connections>
</file>

<file path=xl/sharedStrings.xml><?xml version="1.0" encoding="utf-8"?>
<sst xmlns="http://schemas.openxmlformats.org/spreadsheetml/2006/main" count="168" uniqueCount="21">
  <si>
    <t>sale_date</t>
  </si>
  <si>
    <t>sale_year</t>
  </si>
  <si>
    <t>sale_month</t>
  </si>
  <si>
    <t>product_name</t>
  </si>
  <si>
    <t>category</t>
  </si>
  <si>
    <t>region_name</t>
  </si>
  <si>
    <t>quantity</t>
  </si>
  <si>
    <t>revenue</t>
  </si>
  <si>
    <t>Monitor</t>
  </si>
  <si>
    <t>Electronics</t>
  </si>
  <si>
    <t>Lviv</t>
  </si>
  <si>
    <t>Odesa</t>
  </si>
  <si>
    <t>Desk</t>
  </si>
  <si>
    <t>Furniture</t>
  </si>
  <si>
    <t>Phone</t>
  </si>
  <si>
    <t>Kyiv</t>
  </si>
  <si>
    <t>Laptop</t>
  </si>
  <si>
    <t>Позначки стовпців</t>
  </si>
  <si>
    <t>Загальний підсумок</t>
  </si>
  <si>
    <t>Позначки рядків</t>
  </si>
  <si>
    <t>Сума з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</si>
</sst>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Звичайний" xfId="0" builtinId="0"/>
  </cellStyles>
  <dxfs count="1"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[Таблиця.xlsx]Аркуш3!Зведена таблиця1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Аркуш3!$B$3:$B$4</c:f>
              <c:strCache>
                <c:ptCount val="1"/>
                <c:pt idx="0">
                  <c:v>Kyiv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Аркуш3!$A$5:$A$18</c:f>
              <c:multiLvlStrCache>
                <c:ptCount val="11"/>
                <c:lvl>
                  <c:pt idx="0">
                    <c:v>6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9">
                    <c:v>4</c:v>
                  </c:pt>
                  <c:pt idx="10">
                    <c:v>5</c:v>
                  </c:pt>
                </c:lvl>
                <c:lvl>
                  <c:pt idx="0">
                    <c:v>2025</c:v>
                  </c:pt>
                  <c:pt idx="6">
                    <c:v>2026</c:v>
                  </c:pt>
                </c:lvl>
              </c:multiLvlStrCache>
            </c:multiLvlStrRef>
          </c:cat>
          <c:val>
            <c:numRef>
              <c:f>Аркуш3!$B$5:$B$18</c:f>
              <c:numCache>
                <c:formatCode>General</c:formatCode>
                <c:ptCount val="11"/>
                <c:pt idx="1">
                  <c:v>2615.02</c:v>
                </c:pt>
                <c:pt idx="3">
                  <c:v>1364.57</c:v>
                </c:pt>
                <c:pt idx="8">
                  <c:v>738.04</c:v>
                </c:pt>
                <c:pt idx="9">
                  <c:v>659.32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1-4D61-9D16-B056F568EFDD}"/>
            </c:ext>
          </c:extLst>
        </c:ser>
        <c:ser>
          <c:idx val="1"/>
          <c:order val="1"/>
          <c:tx>
            <c:strRef>
              <c:f>Аркуш3!$C$3:$C$4</c:f>
              <c:strCache>
                <c:ptCount val="1"/>
                <c:pt idx="0">
                  <c:v>Lviv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Аркуш3!$A$5:$A$18</c:f>
              <c:multiLvlStrCache>
                <c:ptCount val="11"/>
                <c:lvl>
                  <c:pt idx="0">
                    <c:v>6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9">
                    <c:v>4</c:v>
                  </c:pt>
                  <c:pt idx="10">
                    <c:v>5</c:v>
                  </c:pt>
                </c:lvl>
                <c:lvl>
                  <c:pt idx="0">
                    <c:v>2025</c:v>
                  </c:pt>
                  <c:pt idx="6">
                    <c:v>2026</c:v>
                  </c:pt>
                </c:lvl>
              </c:multiLvlStrCache>
            </c:multiLvlStrRef>
          </c:cat>
          <c:val>
            <c:numRef>
              <c:f>Аркуш3!$C$5:$C$18</c:f>
              <c:numCache>
                <c:formatCode>General</c:formatCode>
                <c:ptCount val="11"/>
                <c:pt idx="0">
                  <c:v>1334.39</c:v>
                </c:pt>
                <c:pt idx="2">
                  <c:v>2814.5200000000004</c:v>
                </c:pt>
                <c:pt idx="3">
                  <c:v>3832.42</c:v>
                </c:pt>
                <c:pt idx="4">
                  <c:v>2742.84</c:v>
                </c:pt>
                <c:pt idx="5">
                  <c:v>2087.7599999999998</c:v>
                </c:pt>
                <c:pt idx="6">
                  <c:v>1697.12</c:v>
                </c:pt>
                <c:pt idx="7">
                  <c:v>1730.84</c:v>
                </c:pt>
                <c:pt idx="8">
                  <c:v>1031.1199999999999</c:v>
                </c:pt>
                <c:pt idx="9">
                  <c:v>1065.83</c:v>
                </c:pt>
                <c:pt idx="10">
                  <c:v>1689.49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D1-4D61-9D16-B056F568EFDD}"/>
            </c:ext>
          </c:extLst>
        </c:ser>
        <c:ser>
          <c:idx val="2"/>
          <c:order val="2"/>
          <c:tx>
            <c:strRef>
              <c:f>Аркуш3!$D$3:$D$4</c:f>
              <c:strCache>
                <c:ptCount val="1"/>
                <c:pt idx="0">
                  <c:v>Odesa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Аркуш3!$A$5:$A$18</c:f>
              <c:multiLvlStrCache>
                <c:ptCount val="11"/>
                <c:lvl>
                  <c:pt idx="0">
                    <c:v>6</c:v>
                  </c:pt>
                  <c:pt idx="1">
                    <c:v>8</c:v>
                  </c:pt>
                  <c:pt idx="2">
                    <c:v>9</c:v>
                  </c:pt>
                  <c:pt idx="3">
                    <c:v>10</c:v>
                  </c:pt>
                  <c:pt idx="4">
                    <c:v>11</c:v>
                  </c:pt>
                  <c:pt idx="5">
                    <c:v>12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9">
                    <c:v>4</c:v>
                  </c:pt>
                  <c:pt idx="10">
                    <c:v>5</c:v>
                  </c:pt>
                </c:lvl>
                <c:lvl>
                  <c:pt idx="0">
                    <c:v>2025</c:v>
                  </c:pt>
                  <c:pt idx="6">
                    <c:v>2026</c:v>
                  </c:pt>
                </c:lvl>
              </c:multiLvlStrCache>
            </c:multiLvlStrRef>
          </c:cat>
          <c:val>
            <c:numRef>
              <c:f>Аркуш3!$D$5:$D$18</c:f>
              <c:numCache>
                <c:formatCode>General</c:formatCode>
                <c:ptCount val="11"/>
                <c:pt idx="0">
                  <c:v>1597.35</c:v>
                </c:pt>
                <c:pt idx="2">
                  <c:v>859.35</c:v>
                </c:pt>
                <c:pt idx="3">
                  <c:v>623.17999999999995</c:v>
                </c:pt>
                <c:pt idx="5">
                  <c:v>1493.21</c:v>
                </c:pt>
                <c:pt idx="6">
                  <c:v>820.89</c:v>
                </c:pt>
                <c:pt idx="7">
                  <c:v>1011.42</c:v>
                </c:pt>
                <c:pt idx="9">
                  <c:v>611.41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D1-4D61-9D16-B056F568E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8761071"/>
        <c:axId val="610870159"/>
      </c:barChart>
      <c:catAx>
        <c:axId val="128876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870159"/>
        <c:crosses val="autoZero"/>
        <c:auto val="1"/>
        <c:lblAlgn val="ctr"/>
        <c:lblOffset val="100"/>
        <c:noMultiLvlLbl val="0"/>
      </c:catAx>
      <c:valAx>
        <c:axId val="61087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76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293913</xdr:colOff>
      <xdr:row>3</xdr:row>
      <xdr:rowOff>27214</xdr:rowOff>
    </xdr:from>
    <xdr:to>
      <xdr:col>12</xdr:col>
      <xdr:colOff>598713</xdr:colOff>
      <xdr:row>17</xdr:row>
      <xdr:rowOff>179614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30CAEEAC-608A-42BF-B403-57F19AE5D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rusik" refreshedDate="46154.826417708333" createdVersion="6" refreshedVersion="6" minRefreshableVersion="3" recordCount="50" xr:uid="{C5058576-FB9D-41BD-9A50-2FDCCB6C0912}">
  <cacheSource type="worksheet">
    <worksheetSource name="orders_summary"/>
  </cacheSource>
  <cacheFields count="8">
    <cacheField name="sale_date" numFmtId="22">
      <sharedItems containsSemiMixedTypes="0" containsNonDate="0" containsDate="1" containsString="0" minDate="2025-05-16T00:00:00" maxDate="2026-05-07T00:00:00"/>
    </cacheField>
    <cacheField name="sale_year" numFmtId="0">
      <sharedItems containsSemiMixedTypes="0" containsString="0" containsNumber="1" containsInteger="1" minValue="2025" maxValue="2026" count="2">
        <n v="2025"/>
        <n v="2026"/>
      </sharedItems>
    </cacheField>
    <cacheField name="sale_month" numFmtId="0">
      <sharedItems containsSemiMixedTypes="0" containsString="0" containsNumber="1" containsInteger="1" minValue="1" maxValue="12" count="11">
        <n v="12"/>
        <n v="10"/>
        <n v="6"/>
        <n v="8"/>
        <n v="5"/>
        <n v="11"/>
        <n v="4"/>
        <n v="9"/>
        <n v="3"/>
        <n v="2"/>
        <n v="1"/>
      </sharedItems>
    </cacheField>
    <cacheField name="product_name" numFmtId="0">
      <sharedItems/>
    </cacheField>
    <cacheField name="category" numFmtId="0">
      <sharedItems count="2">
        <s v="Electronics"/>
        <s v="Furniture"/>
      </sharedItems>
    </cacheField>
    <cacheField name="region_name" numFmtId="0">
      <sharedItems count="3">
        <s v="Lviv"/>
        <s v="Odesa"/>
        <s v="Kyiv"/>
      </sharedItems>
    </cacheField>
    <cacheField name="quantity" numFmtId="0">
      <sharedItems containsSemiMixedTypes="0" containsString="0" containsNumber="1" containsInteger="1" minValue="1" maxValue="11"/>
    </cacheField>
    <cacheField name="revenue" numFmtId="0">
      <sharedItems containsSemiMixedTypes="0" containsString="0" containsNumber="1" minValue="535.94000000000005" maxValue="1493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d v="2025-12-08T00:00:00"/>
    <x v="0"/>
    <x v="0"/>
    <s v="Monitor"/>
    <x v="0"/>
    <x v="0"/>
    <n v="9"/>
    <n v="1263.58"/>
  </r>
  <r>
    <d v="2025-10-22T00:00:00"/>
    <x v="0"/>
    <x v="1"/>
    <s v="Monitor"/>
    <x v="0"/>
    <x v="0"/>
    <n v="3"/>
    <n v="828.79"/>
  </r>
  <r>
    <d v="2025-06-14T00:00:00"/>
    <x v="0"/>
    <x v="2"/>
    <s v="Monitor"/>
    <x v="0"/>
    <x v="1"/>
    <n v="11"/>
    <n v="1029.51"/>
  </r>
  <r>
    <d v="2025-08-12T00:00:00"/>
    <x v="0"/>
    <x v="3"/>
    <s v="Desk"/>
    <x v="1"/>
    <x v="0"/>
    <n v="11"/>
    <n v="535.94000000000005"/>
  </r>
  <r>
    <d v="2025-05-16T00:00:00"/>
    <x v="0"/>
    <x v="4"/>
    <s v="Desk"/>
    <x v="1"/>
    <x v="0"/>
    <n v="4"/>
    <n v="1307.8"/>
  </r>
  <r>
    <d v="2025-11-01T00:00:00"/>
    <x v="0"/>
    <x v="5"/>
    <s v="Phone"/>
    <x v="0"/>
    <x v="0"/>
    <n v="9"/>
    <n v="1038.74"/>
  </r>
  <r>
    <d v="2026-04-11T00:00:00"/>
    <x v="1"/>
    <x v="6"/>
    <s v="Desk"/>
    <x v="1"/>
    <x v="1"/>
    <n v="6"/>
    <n v="1342.82"/>
  </r>
  <r>
    <d v="2025-10-14T00:00:00"/>
    <x v="0"/>
    <x v="1"/>
    <s v="Phone"/>
    <x v="0"/>
    <x v="0"/>
    <n v="8"/>
    <n v="604.04"/>
  </r>
  <r>
    <d v="2025-09-23T00:00:00"/>
    <x v="0"/>
    <x v="7"/>
    <s v="Phone"/>
    <x v="0"/>
    <x v="0"/>
    <n v="3"/>
    <n v="895.33"/>
  </r>
  <r>
    <d v="2025-11-12T00:00:00"/>
    <x v="0"/>
    <x v="5"/>
    <s v="Desk"/>
    <x v="1"/>
    <x v="2"/>
    <n v="10"/>
    <n v="1050.75"/>
  </r>
  <r>
    <d v="2026-03-13T00:00:00"/>
    <x v="1"/>
    <x v="8"/>
    <s v="Phone"/>
    <x v="0"/>
    <x v="0"/>
    <n v="5"/>
    <n v="1031.1199999999999"/>
  </r>
  <r>
    <d v="2025-12-13T00:00:00"/>
    <x v="0"/>
    <x v="0"/>
    <s v="Phone"/>
    <x v="0"/>
    <x v="1"/>
    <n v="3"/>
    <n v="1493.21"/>
  </r>
  <r>
    <d v="2026-02-23T00:00:00"/>
    <x v="1"/>
    <x v="9"/>
    <s v="Laptop"/>
    <x v="0"/>
    <x v="0"/>
    <n v="9"/>
    <n v="1154.05"/>
  </r>
  <r>
    <d v="2025-09-18T00:00:00"/>
    <x v="0"/>
    <x v="7"/>
    <s v="Laptop"/>
    <x v="0"/>
    <x v="1"/>
    <n v="5"/>
    <n v="859.35"/>
  </r>
  <r>
    <d v="2025-12-27T00:00:00"/>
    <x v="0"/>
    <x v="0"/>
    <s v="Desk"/>
    <x v="1"/>
    <x v="0"/>
    <n v="1"/>
    <n v="1089.22"/>
  </r>
  <r>
    <d v="2025-08-07T00:00:00"/>
    <x v="0"/>
    <x v="3"/>
    <s v="Laptop"/>
    <x v="0"/>
    <x v="2"/>
    <n v="10"/>
    <n v="1222.46"/>
  </r>
  <r>
    <d v="2026-01-01T00:00:00"/>
    <x v="1"/>
    <x v="10"/>
    <s v="Phone"/>
    <x v="0"/>
    <x v="1"/>
    <n v="9"/>
    <n v="820.89"/>
  </r>
  <r>
    <d v="2026-01-09T00:00:00"/>
    <x v="1"/>
    <x v="10"/>
    <s v="Laptop"/>
    <x v="0"/>
    <x v="0"/>
    <n v="3"/>
    <n v="779.93"/>
  </r>
  <r>
    <d v="2026-03-17T00:00:00"/>
    <x v="1"/>
    <x v="8"/>
    <s v="Desk"/>
    <x v="1"/>
    <x v="1"/>
    <n v="10"/>
    <n v="1257.6600000000001"/>
  </r>
  <r>
    <d v="2025-12-14T00:00:00"/>
    <x v="0"/>
    <x v="0"/>
    <s v="Desk"/>
    <x v="1"/>
    <x v="0"/>
    <n v="2"/>
    <n v="1131.5899999999999"/>
  </r>
  <r>
    <d v="2025-10-27T00:00:00"/>
    <x v="0"/>
    <x v="1"/>
    <s v="Phone"/>
    <x v="0"/>
    <x v="1"/>
    <n v="9"/>
    <n v="623.17999999999995"/>
  </r>
  <r>
    <d v="2026-04-25T00:00:00"/>
    <x v="1"/>
    <x v="6"/>
    <s v="Monitor"/>
    <x v="0"/>
    <x v="1"/>
    <n v="3"/>
    <n v="611.41"/>
  </r>
  <r>
    <d v="2025-12-19T00:00:00"/>
    <x v="0"/>
    <x v="0"/>
    <s v="Monitor"/>
    <x v="0"/>
    <x v="0"/>
    <n v="10"/>
    <n v="824.18"/>
  </r>
  <r>
    <d v="2025-09-06T00:00:00"/>
    <x v="0"/>
    <x v="7"/>
    <s v="Phone"/>
    <x v="0"/>
    <x v="0"/>
    <n v="7"/>
    <n v="667.72"/>
  </r>
  <r>
    <d v="2025-08-11T00:00:00"/>
    <x v="0"/>
    <x v="3"/>
    <s v="Laptop"/>
    <x v="0"/>
    <x v="2"/>
    <n v="2"/>
    <n v="1392.56"/>
  </r>
  <r>
    <d v="2026-04-01T00:00:00"/>
    <x v="1"/>
    <x v="6"/>
    <s v="Desk"/>
    <x v="1"/>
    <x v="0"/>
    <n v="9"/>
    <n v="864.1"/>
  </r>
  <r>
    <d v="2025-10-28T00:00:00"/>
    <x v="0"/>
    <x v="1"/>
    <s v="Monitor"/>
    <x v="0"/>
    <x v="0"/>
    <n v="6"/>
    <n v="1361.5"/>
  </r>
  <r>
    <d v="2025-08-10T00:00:00"/>
    <x v="0"/>
    <x v="3"/>
    <s v="Desk"/>
    <x v="1"/>
    <x v="1"/>
    <n v="7"/>
    <n v="1158.25"/>
  </r>
  <r>
    <d v="2025-12-26T00:00:00"/>
    <x v="0"/>
    <x v="0"/>
    <s v="Desk"/>
    <x v="1"/>
    <x v="0"/>
    <n v="2"/>
    <n v="720.27"/>
  </r>
  <r>
    <d v="2025-10-02T00:00:00"/>
    <x v="0"/>
    <x v="1"/>
    <s v="Laptop"/>
    <x v="0"/>
    <x v="2"/>
    <n v="3"/>
    <n v="1364.57"/>
  </r>
  <r>
    <d v="2026-02-25T00:00:00"/>
    <x v="1"/>
    <x v="9"/>
    <s v="Monitor"/>
    <x v="0"/>
    <x v="0"/>
    <n v="5"/>
    <n v="576.79"/>
  </r>
  <r>
    <d v="2025-06-22T00:00:00"/>
    <x v="0"/>
    <x v="2"/>
    <s v="Phone"/>
    <x v="0"/>
    <x v="1"/>
    <n v="6"/>
    <n v="567.84"/>
  </r>
  <r>
    <d v="2025-10-17T00:00:00"/>
    <x v="0"/>
    <x v="1"/>
    <s v="Phone"/>
    <x v="0"/>
    <x v="0"/>
    <n v="5"/>
    <n v="1038.0899999999999"/>
  </r>
  <r>
    <d v="2025-09-14T00:00:00"/>
    <x v="0"/>
    <x v="7"/>
    <s v="Phone"/>
    <x v="0"/>
    <x v="0"/>
    <n v="8"/>
    <n v="1251.47"/>
  </r>
  <r>
    <d v="2026-03-02T00:00:00"/>
    <x v="1"/>
    <x v="8"/>
    <s v="Phone"/>
    <x v="0"/>
    <x v="2"/>
    <n v="4"/>
    <n v="738.04"/>
  </r>
  <r>
    <d v="2025-06-10T00:00:00"/>
    <x v="0"/>
    <x v="2"/>
    <s v="Desk"/>
    <x v="1"/>
    <x v="2"/>
    <n v="8"/>
    <n v="1224.83"/>
  </r>
  <r>
    <d v="2026-05-06T00:00:00"/>
    <x v="1"/>
    <x v="4"/>
    <s v="Phone"/>
    <x v="0"/>
    <x v="0"/>
    <n v="9"/>
    <n v="1111.76"/>
  </r>
  <r>
    <d v="2025-06-02T00:00:00"/>
    <x v="0"/>
    <x v="2"/>
    <s v="Laptop"/>
    <x v="0"/>
    <x v="0"/>
    <n v="2"/>
    <n v="1334.39"/>
  </r>
  <r>
    <d v="2026-01-19T00:00:00"/>
    <x v="1"/>
    <x v="10"/>
    <s v="Phone"/>
    <x v="0"/>
    <x v="0"/>
    <n v="2"/>
    <n v="917.19"/>
  </r>
  <r>
    <d v="2025-11-09T00:00:00"/>
    <x v="0"/>
    <x v="5"/>
    <s v="Desk"/>
    <x v="1"/>
    <x v="2"/>
    <n v="7"/>
    <n v="733"/>
  </r>
  <r>
    <d v="2026-03-27T00:00:00"/>
    <x v="1"/>
    <x v="8"/>
    <s v="Desk"/>
    <x v="1"/>
    <x v="0"/>
    <n v="9"/>
    <n v="1256.77"/>
  </r>
  <r>
    <d v="2026-03-26T00:00:00"/>
    <x v="1"/>
    <x v="8"/>
    <s v="Desk"/>
    <x v="1"/>
    <x v="0"/>
    <n v="10"/>
    <n v="719.96"/>
  </r>
  <r>
    <d v="2026-04-30T00:00:00"/>
    <x v="1"/>
    <x v="6"/>
    <s v="Desk"/>
    <x v="1"/>
    <x v="0"/>
    <n v="7"/>
    <n v="1276.46"/>
  </r>
  <r>
    <d v="2026-02-01T00:00:00"/>
    <x v="1"/>
    <x v="9"/>
    <s v="Desk"/>
    <x v="1"/>
    <x v="2"/>
    <n v="10"/>
    <n v="1232.67"/>
  </r>
  <r>
    <d v="2026-04-11T00:00:00"/>
    <x v="1"/>
    <x v="6"/>
    <s v="Laptop"/>
    <x v="0"/>
    <x v="2"/>
    <n v="9"/>
    <n v="659.32"/>
  </r>
  <r>
    <d v="2025-11-03T00:00:00"/>
    <x v="0"/>
    <x v="5"/>
    <s v="Phone"/>
    <x v="0"/>
    <x v="0"/>
    <n v="9"/>
    <n v="717.77"/>
  </r>
  <r>
    <d v="2025-11-04T00:00:00"/>
    <x v="0"/>
    <x v="5"/>
    <s v="Phone"/>
    <x v="0"/>
    <x v="0"/>
    <n v="5"/>
    <n v="986.33"/>
  </r>
  <r>
    <d v="2026-02-17T00:00:00"/>
    <x v="1"/>
    <x v="9"/>
    <s v="Monitor"/>
    <x v="0"/>
    <x v="1"/>
    <n v="3"/>
    <n v="1011.42"/>
  </r>
  <r>
    <d v="2026-05-06T00:00:00"/>
    <x v="1"/>
    <x v="4"/>
    <s v="Monitor"/>
    <x v="0"/>
    <x v="0"/>
    <n v="10"/>
    <n v="577.73"/>
  </r>
  <r>
    <d v="2026-04-10T00:00:00"/>
    <x v="1"/>
    <x v="6"/>
    <s v="Phone"/>
    <x v="0"/>
    <x v="0"/>
    <n v="9"/>
    <n v="1065.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D58C3-20FA-4A6C-80DA-BDC81C74C882}" name="Зведена таблиця1" cacheId="5" applyNumberFormats="0" applyBorderFormats="0" applyFontFormats="0" applyPatternFormats="0" applyAlignmentFormats="0" applyWidthHeightFormats="1" dataCaption="Значення" updatedVersion="6" minRefreshableVersion="3" useAutoFormatting="1" itemPrintTitles="1" createdVersion="6" indent="0" outline="1" outlineData="1" multipleFieldFilters="0" chartFormat="1">
  <location ref="A3:E18" firstHeaderRow="1" firstDataRow="2" firstDataCol="1" rowPageCount="1" colPageCount="1"/>
  <pivotFields count="8">
    <pivotField numFmtId="22" showAll="0"/>
    <pivotField axis="axisRow" showAll="0">
      <items count="3">
        <item x="0"/>
        <item x="1"/>
        <item t="default"/>
      </items>
    </pivotField>
    <pivotField axis="axisRow" showAll="0">
      <items count="12">
        <item x="10"/>
        <item x="9"/>
        <item x="8"/>
        <item x="6"/>
        <item x="4"/>
        <item x="2"/>
        <item x="3"/>
        <item x="7"/>
        <item x="1"/>
        <item x="5"/>
        <item x="0"/>
        <item t="default"/>
      </items>
    </pivotField>
    <pivotField showAll="0"/>
    <pivotField axis="axisPage" multipleItemSelectionAllowed="1" showAll="0">
      <items count="3">
        <item x="0"/>
        <item h="1" x="1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dataField="1" showAll="0"/>
  </pivotFields>
  <rowFields count="2">
    <field x="1"/>
    <field x="2"/>
  </rowFields>
  <rowItems count="14">
    <i>
      <x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4" hier="-1"/>
  </pageFields>
  <dataFields count="1">
    <dataField name="Сума з revenue" fld="7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8EB298-6AF9-4FC0-83EC-670E4EEFA906}" autoFormatId="16" applyNumberFormats="0" applyBorderFormats="0" applyFontFormats="0" applyPatternFormats="0" applyAlignmentFormats="0" applyWidthHeightFormats="0">
  <queryTableRefresh nextId="9">
    <queryTableFields count="8">
      <queryTableField id="1" name="sale_date" tableColumnId="1"/>
      <queryTableField id="2" name="sale_year" tableColumnId="2"/>
      <queryTableField id="3" name="sale_month" tableColumnId="3"/>
      <queryTableField id="4" name="product_name" tableColumnId="4"/>
      <queryTableField id="5" name="category" tableColumnId="5"/>
      <queryTableField id="6" name="region_name" tableColumnId="6"/>
      <queryTableField id="7" name="quantity" tableColumnId="7"/>
      <queryTableField id="8" name="revenu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61FF8D-FF23-49FC-8952-407EF7A01D2A}" name="orders_summary" displayName="orders_summary" ref="A1:H51" tableType="queryTable" totalsRowShown="0">
  <autoFilter ref="A1:H51" xr:uid="{646CD774-AC39-433A-9764-B218AF7C8581}"/>
  <tableColumns count="8">
    <tableColumn id="1" xr3:uid="{57158BD8-278F-4B2C-97E1-8115B258F829}" uniqueName="1" name="sale_date" queryTableFieldId="1" dataDxfId="0"/>
    <tableColumn id="2" xr3:uid="{5AD41A6D-323E-448F-AD79-10CBF1E93666}" uniqueName="2" name="sale_year" queryTableFieldId="2"/>
    <tableColumn id="3" xr3:uid="{959FAA9E-BF68-410C-8B3D-5D7611CD3C04}" uniqueName="3" name="sale_month" queryTableFieldId="3"/>
    <tableColumn id="4" xr3:uid="{E8B95BD8-B1B9-4C99-8E0C-D12F796545B6}" uniqueName="4" name="product_name" queryTableFieldId="4"/>
    <tableColumn id="5" xr3:uid="{B64228E8-1C47-4F21-9753-4E373B0D3B85}" uniqueName="5" name="category" queryTableFieldId="5"/>
    <tableColumn id="6" xr3:uid="{732F4DAE-B03A-49B7-AD29-524B04C15F12}" uniqueName="6" name="region_name" queryTableFieldId="6"/>
    <tableColumn id="7" xr3:uid="{240DDBF7-2B55-45B5-AF02-BD200DA41DCF}" uniqueName="7" name="quantity" queryTableFieldId="7"/>
    <tableColumn id="8" xr3:uid="{E47D56F8-1B10-4248-B4B0-57C401D05D5F}" uniqueName="8" name="revenu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627BE-FEA6-4EC3-A9CF-E4371BE7E7FA}">
  <dimension ref="A1:E18"/>
  <sheetViews>
    <sheetView tabSelected="1" zoomScale="70" zoomScaleNormal="70" workbookViewId="0">
      <selection activeCell="P16" sqref="P16"/>
    </sheetView>
  </sheetViews>
  <sheetFormatPr defaultRowHeight="14.4" x14ac:dyDescent="0.3"/>
  <cols>
    <col min="1" max="1" width="19" bestFit="1" customWidth="1"/>
    <col min="2" max="2" width="20.5546875" bestFit="1" customWidth="1"/>
    <col min="3" max="3" width="10" bestFit="1" customWidth="1"/>
    <col min="4" max="4" width="8.88671875" bestFit="1" customWidth="1"/>
    <col min="5" max="5" width="18.88671875" bestFit="1" customWidth="1"/>
  </cols>
  <sheetData>
    <row r="1" spans="1:5" x14ac:dyDescent="0.3">
      <c r="A1" s="2" t="s">
        <v>4</v>
      </c>
      <c r="B1" t="s">
        <v>9</v>
      </c>
    </row>
    <row r="3" spans="1:5" x14ac:dyDescent="0.3">
      <c r="A3" s="2" t="s">
        <v>20</v>
      </c>
      <c r="B3" s="2" t="s">
        <v>17</v>
      </c>
    </row>
    <row r="4" spans="1:5" x14ac:dyDescent="0.3">
      <c r="A4" s="2" t="s">
        <v>19</v>
      </c>
      <c r="B4" t="s">
        <v>15</v>
      </c>
      <c r="C4" t="s">
        <v>10</v>
      </c>
      <c r="D4" t="s">
        <v>11</v>
      </c>
      <c r="E4" t="s">
        <v>18</v>
      </c>
    </row>
    <row r="5" spans="1:5" x14ac:dyDescent="0.3">
      <c r="A5" s="3">
        <v>2025</v>
      </c>
      <c r="B5" s="4">
        <v>3979.59</v>
      </c>
      <c r="C5" s="4">
        <v>12811.930000000002</v>
      </c>
      <c r="D5" s="4">
        <v>4573.09</v>
      </c>
      <c r="E5" s="4">
        <v>21364.61</v>
      </c>
    </row>
    <row r="6" spans="1:5" x14ac:dyDescent="0.3">
      <c r="A6" s="5">
        <v>6</v>
      </c>
      <c r="B6" s="4"/>
      <c r="C6" s="4">
        <v>1334.39</v>
      </c>
      <c r="D6" s="4">
        <v>1597.35</v>
      </c>
      <c r="E6" s="4">
        <v>2931.74</v>
      </c>
    </row>
    <row r="7" spans="1:5" x14ac:dyDescent="0.3">
      <c r="A7" s="5">
        <v>8</v>
      </c>
      <c r="B7" s="4">
        <v>2615.02</v>
      </c>
      <c r="C7" s="4"/>
      <c r="D7" s="4"/>
      <c r="E7" s="4">
        <v>2615.02</v>
      </c>
    </row>
    <row r="8" spans="1:5" x14ac:dyDescent="0.3">
      <c r="A8" s="5">
        <v>9</v>
      </c>
      <c r="B8" s="4"/>
      <c r="C8" s="4">
        <v>2814.5200000000004</v>
      </c>
      <c r="D8" s="4">
        <v>859.35</v>
      </c>
      <c r="E8" s="4">
        <v>3673.8700000000003</v>
      </c>
    </row>
    <row r="9" spans="1:5" x14ac:dyDescent="0.3">
      <c r="A9" s="5">
        <v>10</v>
      </c>
      <c r="B9" s="4">
        <v>1364.57</v>
      </c>
      <c r="C9" s="4">
        <v>3832.42</v>
      </c>
      <c r="D9" s="4">
        <v>623.17999999999995</v>
      </c>
      <c r="E9" s="4">
        <v>5820.17</v>
      </c>
    </row>
    <row r="10" spans="1:5" x14ac:dyDescent="0.3">
      <c r="A10" s="5">
        <v>11</v>
      </c>
      <c r="B10" s="4"/>
      <c r="C10" s="4">
        <v>2742.84</v>
      </c>
      <c r="D10" s="4"/>
      <c r="E10" s="4">
        <v>2742.84</v>
      </c>
    </row>
    <row r="11" spans="1:5" x14ac:dyDescent="0.3">
      <c r="A11" s="5">
        <v>12</v>
      </c>
      <c r="B11" s="4"/>
      <c r="C11" s="4">
        <v>2087.7599999999998</v>
      </c>
      <c r="D11" s="4">
        <v>1493.21</v>
      </c>
      <c r="E11" s="4">
        <v>3580.97</v>
      </c>
    </row>
    <row r="12" spans="1:5" x14ac:dyDescent="0.3">
      <c r="A12" s="3">
        <v>2026</v>
      </c>
      <c r="B12" s="4">
        <v>1397.3600000000001</v>
      </c>
      <c r="C12" s="4">
        <v>7214.4</v>
      </c>
      <c r="D12" s="4">
        <v>2443.7199999999998</v>
      </c>
      <c r="E12" s="4">
        <v>11055.48</v>
      </c>
    </row>
    <row r="13" spans="1:5" x14ac:dyDescent="0.3">
      <c r="A13" s="5">
        <v>1</v>
      </c>
      <c r="B13" s="4"/>
      <c r="C13" s="4">
        <v>1697.12</v>
      </c>
      <c r="D13" s="4">
        <v>820.89</v>
      </c>
      <c r="E13" s="4">
        <v>2518.0099999999998</v>
      </c>
    </row>
    <row r="14" spans="1:5" x14ac:dyDescent="0.3">
      <c r="A14" s="5">
        <v>2</v>
      </c>
      <c r="B14" s="4"/>
      <c r="C14" s="4">
        <v>1730.84</v>
      </c>
      <c r="D14" s="4">
        <v>1011.42</v>
      </c>
      <c r="E14" s="4">
        <v>2742.2599999999998</v>
      </c>
    </row>
    <row r="15" spans="1:5" x14ac:dyDescent="0.3">
      <c r="A15" s="5">
        <v>3</v>
      </c>
      <c r="B15" s="4">
        <v>738.04</v>
      </c>
      <c r="C15" s="4">
        <v>1031.1199999999999</v>
      </c>
      <c r="D15" s="4"/>
      <c r="E15" s="4">
        <v>1769.1599999999999</v>
      </c>
    </row>
    <row r="16" spans="1:5" x14ac:dyDescent="0.3">
      <c r="A16" s="5">
        <v>4</v>
      </c>
      <c r="B16" s="4">
        <v>659.32</v>
      </c>
      <c r="C16" s="4">
        <v>1065.83</v>
      </c>
      <c r="D16" s="4">
        <v>611.41</v>
      </c>
      <c r="E16" s="4">
        <v>2336.56</v>
      </c>
    </row>
    <row r="17" spans="1:5" x14ac:dyDescent="0.3">
      <c r="A17" s="5">
        <v>5</v>
      </c>
      <c r="B17" s="4"/>
      <c r="C17" s="4">
        <v>1689.49</v>
      </c>
      <c r="D17" s="4"/>
      <c r="E17" s="4">
        <v>1689.49</v>
      </c>
    </row>
    <row r="18" spans="1:5" x14ac:dyDescent="0.3">
      <c r="A18" s="3" t="s">
        <v>18</v>
      </c>
      <c r="B18" s="4">
        <v>5376.95</v>
      </c>
      <c r="C18" s="4">
        <v>20026.330000000005</v>
      </c>
      <c r="D18" s="4">
        <v>7016.81</v>
      </c>
      <c r="E18" s="4">
        <v>32420.09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5BCE-4CED-4E5F-93FC-2C874DE95669}">
  <dimension ref="A1:H51"/>
  <sheetViews>
    <sheetView zoomScale="55" zoomScaleNormal="55" workbookViewId="0">
      <selection activeCell="D11" sqref="D11"/>
    </sheetView>
  </sheetViews>
  <sheetFormatPr defaultRowHeight="14.4" x14ac:dyDescent="0.3"/>
  <cols>
    <col min="1" max="1" width="14.21875" bestFit="1" customWidth="1"/>
    <col min="2" max="2" width="11.109375" bestFit="1" customWidth="1"/>
    <col min="3" max="3" width="13.109375" bestFit="1" customWidth="1"/>
    <col min="4" max="4" width="15.77734375" bestFit="1" customWidth="1"/>
    <col min="5" max="5" width="10.5546875" bestFit="1" customWidth="1"/>
    <col min="6" max="6" width="14.33203125" bestFit="1" customWidth="1"/>
    <col min="7" max="7" width="10.33203125" bestFit="1" customWidth="1"/>
    <col min="8" max="8" width="10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45999</v>
      </c>
      <c r="B2">
        <v>2025</v>
      </c>
      <c r="C2">
        <v>12</v>
      </c>
      <c r="D2" t="s">
        <v>8</v>
      </c>
      <c r="E2" t="s">
        <v>9</v>
      </c>
      <c r="F2" t="s">
        <v>10</v>
      </c>
      <c r="G2">
        <v>9</v>
      </c>
      <c r="H2">
        <v>1263.58</v>
      </c>
    </row>
    <row r="3" spans="1:8" x14ac:dyDescent="0.3">
      <c r="A3" s="1">
        <v>45952</v>
      </c>
      <c r="B3">
        <v>2025</v>
      </c>
      <c r="C3">
        <v>10</v>
      </c>
      <c r="D3" t="s">
        <v>8</v>
      </c>
      <c r="E3" t="s">
        <v>9</v>
      </c>
      <c r="F3" t="s">
        <v>10</v>
      </c>
      <c r="G3">
        <v>3</v>
      </c>
      <c r="H3">
        <v>828.79</v>
      </c>
    </row>
    <row r="4" spans="1:8" x14ac:dyDescent="0.3">
      <c r="A4" s="1">
        <v>45822</v>
      </c>
      <c r="B4">
        <v>2025</v>
      </c>
      <c r="C4">
        <v>6</v>
      </c>
      <c r="D4" t="s">
        <v>8</v>
      </c>
      <c r="E4" t="s">
        <v>9</v>
      </c>
      <c r="F4" t="s">
        <v>11</v>
      </c>
      <c r="G4">
        <v>11</v>
      </c>
      <c r="H4">
        <v>1029.51</v>
      </c>
    </row>
    <row r="5" spans="1:8" x14ac:dyDescent="0.3">
      <c r="A5" s="1">
        <v>45881</v>
      </c>
      <c r="B5">
        <v>2025</v>
      </c>
      <c r="C5">
        <v>8</v>
      </c>
      <c r="D5" t="s">
        <v>12</v>
      </c>
      <c r="E5" t="s">
        <v>13</v>
      </c>
      <c r="F5" t="s">
        <v>10</v>
      </c>
      <c r="G5">
        <v>11</v>
      </c>
      <c r="H5">
        <v>535.94000000000005</v>
      </c>
    </row>
    <row r="6" spans="1:8" x14ac:dyDescent="0.3">
      <c r="A6" s="1">
        <v>45793</v>
      </c>
      <c r="B6">
        <v>2025</v>
      </c>
      <c r="C6">
        <v>5</v>
      </c>
      <c r="D6" t="s">
        <v>12</v>
      </c>
      <c r="E6" t="s">
        <v>13</v>
      </c>
      <c r="F6" t="s">
        <v>10</v>
      </c>
      <c r="G6">
        <v>4</v>
      </c>
      <c r="H6">
        <v>1307.8</v>
      </c>
    </row>
    <row r="7" spans="1:8" x14ac:dyDescent="0.3">
      <c r="A7" s="1">
        <v>45962</v>
      </c>
      <c r="B7">
        <v>2025</v>
      </c>
      <c r="C7">
        <v>11</v>
      </c>
      <c r="D7" t="s">
        <v>14</v>
      </c>
      <c r="E7" t="s">
        <v>9</v>
      </c>
      <c r="F7" t="s">
        <v>10</v>
      </c>
      <c r="G7">
        <v>9</v>
      </c>
      <c r="H7">
        <v>1038.74</v>
      </c>
    </row>
    <row r="8" spans="1:8" x14ac:dyDescent="0.3">
      <c r="A8" s="1">
        <v>46123</v>
      </c>
      <c r="B8">
        <v>2026</v>
      </c>
      <c r="C8">
        <v>4</v>
      </c>
      <c r="D8" t="s">
        <v>12</v>
      </c>
      <c r="E8" t="s">
        <v>13</v>
      </c>
      <c r="F8" t="s">
        <v>11</v>
      </c>
      <c r="G8">
        <v>6</v>
      </c>
      <c r="H8">
        <v>1342.82</v>
      </c>
    </row>
    <row r="9" spans="1:8" x14ac:dyDescent="0.3">
      <c r="A9" s="1">
        <v>45944</v>
      </c>
      <c r="B9">
        <v>2025</v>
      </c>
      <c r="C9">
        <v>10</v>
      </c>
      <c r="D9" t="s">
        <v>14</v>
      </c>
      <c r="E9" t="s">
        <v>9</v>
      </c>
      <c r="F9" t="s">
        <v>10</v>
      </c>
      <c r="G9">
        <v>8</v>
      </c>
      <c r="H9">
        <v>604.04</v>
      </c>
    </row>
    <row r="10" spans="1:8" x14ac:dyDescent="0.3">
      <c r="A10" s="1">
        <v>45923</v>
      </c>
      <c r="B10">
        <v>2025</v>
      </c>
      <c r="C10">
        <v>9</v>
      </c>
      <c r="D10" t="s">
        <v>14</v>
      </c>
      <c r="E10" t="s">
        <v>9</v>
      </c>
      <c r="F10" t="s">
        <v>10</v>
      </c>
      <c r="G10">
        <v>3</v>
      </c>
      <c r="H10">
        <v>895.33</v>
      </c>
    </row>
    <row r="11" spans="1:8" x14ac:dyDescent="0.3">
      <c r="A11" s="1">
        <v>45973</v>
      </c>
      <c r="B11">
        <v>2025</v>
      </c>
      <c r="C11">
        <v>11</v>
      </c>
      <c r="D11" t="s">
        <v>12</v>
      </c>
      <c r="E11" t="s">
        <v>13</v>
      </c>
      <c r="F11" t="s">
        <v>15</v>
      </c>
      <c r="G11">
        <v>10</v>
      </c>
      <c r="H11">
        <v>1050.75</v>
      </c>
    </row>
    <row r="12" spans="1:8" x14ac:dyDescent="0.3">
      <c r="A12" s="1">
        <v>46094</v>
      </c>
      <c r="B12">
        <v>2026</v>
      </c>
      <c r="C12">
        <v>3</v>
      </c>
      <c r="D12" t="s">
        <v>14</v>
      </c>
      <c r="E12" t="s">
        <v>9</v>
      </c>
      <c r="F12" t="s">
        <v>10</v>
      </c>
      <c r="G12">
        <v>5</v>
      </c>
      <c r="H12">
        <v>1031.1199999999999</v>
      </c>
    </row>
    <row r="13" spans="1:8" x14ac:dyDescent="0.3">
      <c r="A13" s="1">
        <v>46004</v>
      </c>
      <c r="B13">
        <v>2025</v>
      </c>
      <c r="C13">
        <v>12</v>
      </c>
      <c r="D13" t="s">
        <v>14</v>
      </c>
      <c r="E13" t="s">
        <v>9</v>
      </c>
      <c r="F13" t="s">
        <v>11</v>
      </c>
      <c r="G13">
        <v>3</v>
      </c>
      <c r="H13">
        <v>1493.21</v>
      </c>
    </row>
    <row r="14" spans="1:8" x14ac:dyDescent="0.3">
      <c r="A14" s="1">
        <v>46076</v>
      </c>
      <c r="B14">
        <v>2026</v>
      </c>
      <c r="C14">
        <v>2</v>
      </c>
      <c r="D14" t="s">
        <v>16</v>
      </c>
      <c r="E14" t="s">
        <v>9</v>
      </c>
      <c r="F14" t="s">
        <v>10</v>
      </c>
      <c r="G14">
        <v>9</v>
      </c>
      <c r="H14">
        <v>1154.05</v>
      </c>
    </row>
    <row r="15" spans="1:8" x14ac:dyDescent="0.3">
      <c r="A15" s="1">
        <v>45918</v>
      </c>
      <c r="B15">
        <v>2025</v>
      </c>
      <c r="C15">
        <v>9</v>
      </c>
      <c r="D15" t="s">
        <v>16</v>
      </c>
      <c r="E15" t="s">
        <v>9</v>
      </c>
      <c r="F15" t="s">
        <v>11</v>
      </c>
      <c r="G15">
        <v>5</v>
      </c>
      <c r="H15">
        <v>859.35</v>
      </c>
    </row>
    <row r="16" spans="1:8" x14ac:dyDescent="0.3">
      <c r="A16" s="1">
        <v>46018</v>
      </c>
      <c r="B16">
        <v>2025</v>
      </c>
      <c r="C16">
        <v>12</v>
      </c>
      <c r="D16" t="s">
        <v>12</v>
      </c>
      <c r="E16" t="s">
        <v>13</v>
      </c>
      <c r="F16" t="s">
        <v>10</v>
      </c>
      <c r="G16">
        <v>1</v>
      </c>
      <c r="H16">
        <v>1089.22</v>
      </c>
    </row>
    <row r="17" spans="1:8" x14ac:dyDescent="0.3">
      <c r="A17" s="1">
        <v>45876</v>
      </c>
      <c r="B17">
        <v>2025</v>
      </c>
      <c r="C17">
        <v>8</v>
      </c>
      <c r="D17" t="s">
        <v>16</v>
      </c>
      <c r="E17" t="s">
        <v>9</v>
      </c>
      <c r="F17" t="s">
        <v>15</v>
      </c>
      <c r="G17">
        <v>10</v>
      </c>
      <c r="H17">
        <v>1222.46</v>
      </c>
    </row>
    <row r="18" spans="1:8" x14ac:dyDescent="0.3">
      <c r="A18" s="1">
        <v>46023</v>
      </c>
      <c r="B18">
        <v>2026</v>
      </c>
      <c r="C18">
        <v>1</v>
      </c>
      <c r="D18" t="s">
        <v>14</v>
      </c>
      <c r="E18" t="s">
        <v>9</v>
      </c>
      <c r="F18" t="s">
        <v>11</v>
      </c>
      <c r="G18">
        <v>9</v>
      </c>
      <c r="H18">
        <v>820.89</v>
      </c>
    </row>
    <row r="19" spans="1:8" x14ac:dyDescent="0.3">
      <c r="A19" s="1">
        <v>46031</v>
      </c>
      <c r="B19">
        <v>2026</v>
      </c>
      <c r="C19">
        <v>1</v>
      </c>
      <c r="D19" t="s">
        <v>16</v>
      </c>
      <c r="E19" t="s">
        <v>9</v>
      </c>
      <c r="F19" t="s">
        <v>10</v>
      </c>
      <c r="G19">
        <v>3</v>
      </c>
      <c r="H19">
        <v>779.93</v>
      </c>
    </row>
    <row r="20" spans="1:8" x14ac:dyDescent="0.3">
      <c r="A20" s="1">
        <v>46098</v>
      </c>
      <c r="B20">
        <v>2026</v>
      </c>
      <c r="C20">
        <v>3</v>
      </c>
      <c r="D20" t="s">
        <v>12</v>
      </c>
      <c r="E20" t="s">
        <v>13</v>
      </c>
      <c r="F20" t="s">
        <v>11</v>
      </c>
      <c r="G20">
        <v>10</v>
      </c>
      <c r="H20">
        <v>1257.6600000000001</v>
      </c>
    </row>
    <row r="21" spans="1:8" x14ac:dyDescent="0.3">
      <c r="A21" s="1">
        <v>46005</v>
      </c>
      <c r="B21">
        <v>2025</v>
      </c>
      <c r="C21">
        <v>12</v>
      </c>
      <c r="D21" t="s">
        <v>12</v>
      </c>
      <c r="E21" t="s">
        <v>13</v>
      </c>
      <c r="F21" t="s">
        <v>10</v>
      </c>
      <c r="G21">
        <v>2</v>
      </c>
      <c r="H21">
        <v>1131.5899999999999</v>
      </c>
    </row>
    <row r="22" spans="1:8" x14ac:dyDescent="0.3">
      <c r="A22" s="1">
        <v>45957</v>
      </c>
      <c r="B22">
        <v>2025</v>
      </c>
      <c r="C22">
        <v>10</v>
      </c>
      <c r="D22" t="s">
        <v>14</v>
      </c>
      <c r="E22" t="s">
        <v>9</v>
      </c>
      <c r="F22" t="s">
        <v>11</v>
      </c>
      <c r="G22">
        <v>9</v>
      </c>
      <c r="H22">
        <v>623.17999999999995</v>
      </c>
    </row>
    <row r="23" spans="1:8" x14ac:dyDescent="0.3">
      <c r="A23" s="1">
        <v>46137</v>
      </c>
      <c r="B23">
        <v>2026</v>
      </c>
      <c r="C23">
        <v>4</v>
      </c>
      <c r="D23" t="s">
        <v>8</v>
      </c>
      <c r="E23" t="s">
        <v>9</v>
      </c>
      <c r="F23" t="s">
        <v>11</v>
      </c>
      <c r="G23">
        <v>3</v>
      </c>
      <c r="H23">
        <v>611.41</v>
      </c>
    </row>
    <row r="24" spans="1:8" x14ac:dyDescent="0.3">
      <c r="A24" s="1">
        <v>46010</v>
      </c>
      <c r="B24">
        <v>2025</v>
      </c>
      <c r="C24">
        <v>12</v>
      </c>
      <c r="D24" t="s">
        <v>8</v>
      </c>
      <c r="E24" t="s">
        <v>9</v>
      </c>
      <c r="F24" t="s">
        <v>10</v>
      </c>
      <c r="G24">
        <v>10</v>
      </c>
      <c r="H24">
        <v>824.18</v>
      </c>
    </row>
    <row r="25" spans="1:8" x14ac:dyDescent="0.3">
      <c r="A25" s="1">
        <v>45906</v>
      </c>
      <c r="B25">
        <v>2025</v>
      </c>
      <c r="C25">
        <v>9</v>
      </c>
      <c r="D25" t="s">
        <v>14</v>
      </c>
      <c r="E25" t="s">
        <v>9</v>
      </c>
      <c r="F25" t="s">
        <v>10</v>
      </c>
      <c r="G25">
        <v>7</v>
      </c>
      <c r="H25">
        <v>667.72</v>
      </c>
    </row>
    <row r="26" spans="1:8" x14ac:dyDescent="0.3">
      <c r="A26" s="1">
        <v>45880</v>
      </c>
      <c r="B26">
        <v>2025</v>
      </c>
      <c r="C26">
        <v>8</v>
      </c>
      <c r="D26" t="s">
        <v>16</v>
      </c>
      <c r="E26" t="s">
        <v>9</v>
      </c>
      <c r="F26" t="s">
        <v>15</v>
      </c>
      <c r="G26">
        <v>2</v>
      </c>
      <c r="H26">
        <v>1392.56</v>
      </c>
    </row>
    <row r="27" spans="1:8" x14ac:dyDescent="0.3">
      <c r="A27" s="1">
        <v>46113</v>
      </c>
      <c r="B27">
        <v>2026</v>
      </c>
      <c r="C27">
        <v>4</v>
      </c>
      <c r="D27" t="s">
        <v>12</v>
      </c>
      <c r="E27" t="s">
        <v>13</v>
      </c>
      <c r="F27" t="s">
        <v>10</v>
      </c>
      <c r="G27">
        <v>9</v>
      </c>
      <c r="H27">
        <v>864.1</v>
      </c>
    </row>
    <row r="28" spans="1:8" x14ac:dyDescent="0.3">
      <c r="A28" s="1">
        <v>45958</v>
      </c>
      <c r="B28">
        <v>2025</v>
      </c>
      <c r="C28">
        <v>10</v>
      </c>
      <c r="D28" t="s">
        <v>8</v>
      </c>
      <c r="E28" t="s">
        <v>9</v>
      </c>
      <c r="F28" t="s">
        <v>10</v>
      </c>
      <c r="G28">
        <v>6</v>
      </c>
      <c r="H28">
        <v>1361.5</v>
      </c>
    </row>
    <row r="29" spans="1:8" x14ac:dyDescent="0.3">
      <c r="A29" s="1">
        <v>45879</v>
      </c>
      <c r="B29">
        <v>2025</v>
      </c>
      <c r="C29">
        <v>8</v>
      </c>
      <c r="D29" t="s">
        <v>12</v>
      </c>
      <c r="E29" t="s">
        <v>13</v>
      </c>
      <c r="F29" t="s">
        <v>11</v>
      </c>
      <c r="G29">
        <v>7</v>
      </c>
      <c r="H29">
        <v>1158.25</v>
      </c>
    </row>
    <row r="30" spans="1:8" x14ac:dyDescent="0.3">
      <c r="A30" s="1">
        <v>46017</v>
      </c>
      <c r="B30">
        <v>2025</v>
      </c>
      <c r="C30">
        <v>12</v>
      </c>
      <c r="D30" t="s">
        <v>12</v>
      </c>
      <c r="E30" t="s">
        <v>13</v>
      </c>
      <c r="F30" t="s">
        <v>10</v>
      </c>
      <c r="G30">
        <v>2</v>
      </c>
      <c r="H30">
        <v>720.27</v>
      </c>
    </row>
    <row r="31" spans="1:8" x14ac:dyDescent="0.3">
      <c r="A31" s="1">
        <v>45932</v>
      </c>
      <c r="B31">
        <v>2025</v>
      </c>
      <c r="C31">
        <v>10</v>
      </c>
      <c r="D31" t="s">
        <v>16</v>
      </c>
      <c r="E31" t="s">
        <v>9</v>
      </c>
      <c r="F31" t="s">
        <v>15</v>
      </c>
      <c r="G31">
        <v>3</v>
      </c>
      <c r="H31">
        <v>1364.57</v>
      </c>
    </row>
    <row r="32" spans="1:8" x14ac:dyDescent="0.3">
      <c r="A32" s="1">
        <v>46078</v>
      </c>
      <c r="B32">
        <v>2026</v>
      </c>
      <c r="C32">
        <v>2</v>
      </c>
      <c r="D32" t="s">
        <v>8</v>
      </c>
      <c r="E32" t="s">
        <v>9</v>
      </c>
      <c r="F32" t="s">
        <v>10</v>
      </c>
      <c r="G32">
        <v>5</v>
      </c>
      <c r="H32">
        <v>576.79</v>
      </c>
    </row>
    <row r="33" spans="1:8" x14ac:dyDescent="0.3">
      <c r="A33" s="1">
        <v>45830</v>
      </c>
      <c r="B33">
        <v>2025</v>
      </c>
      <c r="C33">
        <v>6</v>
      </c>
      <c r="D33" t="s">
        <v>14</v>
      </c>
      <c r="E33" t="s">
        <v>9</v>
      </c>
      <c r="F33" t="s">
        <v>11</v>
      </c>
      <c r="G33">
        <v>6</v>
      </c>
      <c r="H33">
        <v>567.84</v>
      </c>
    </row>
    <row r="34" spans="1:8" x14ac:dyDescent="0.3">
      <c r="A34" s="1">
        <v>45947</v>
      </c>
      <c r="B34">
        <v>2025</v>
      </c>
      <c r="C34">
        <v>10</v>
      </c>
      <c r="D34" t="s">
        <v>14</v>
      </c>
      <c r="E34" t="s">
        <v>9</v>
      </c>
      <c r="F34" t="s">
        <v>10</v>
      </c>
      <c r="G34">
        <v>5</v>
      </c>
      <c r="H34">
        <v>1038.0899999999999</v>
      </c>
    </row>
    <row r="35" spans="1:8" x14ac:dyDescent="0.3">
      <c r="A35" s="1">
        <v>45914</v>
      </c>
      <c r="B35">
        <v>2025</v>
      </c>
      <c r="C35">
        <v>9</v>
      </c>
      <c r="D35" t="s">
        <v>14</v>
      </c>
      <c r="E35" t="s">
        <v>9</v>
      </c>
      <c r="F35" t="s">
        <v>10</v>
      </c>
      <c r="G35">
        <v>8</v>
      </c>
      <c r="H35">
        <v>1251.47</v>
      </c>
    </row>
    <row r="36" spans="1:8" x14ac:dyDescent="0.3">
      <c r="A36" s="1">
        <v>46083</v>
      </c>
      <c r="B36">
        <v>2026</v>
      </c>
      <c r="C36">
        <v>3</v>
      </c>
      <c r="D36" t="s">
        <v>14</v>
      </c>
      <c r="E36" t="s">
        <v>9</v>
      </c>
      <c r="F36" t="s">
        <v>15</v>
      </c>
      <c r="G36">
        <v>4</v>
      </c>
      <c r="H36">
        <v>738.04</v>
      </c>
    </row>
    <row r="37" spans="1:8" x14ac:dyDescent="0.3">
      <c r="A37" s="1">
        <v>45818</v>
      </c>
      <c r="B37">
        <v>2025</v>
      </c>
      <c r="C37">
        <v>6</v>
      </c>
      <c r="D37" t="s">
        <v>12</v>
      </c>
      <c r="E37" t="s">
        <v>13</v>
      </c>
      <c r="F37" t="s">
        <v>15</v>
      </c>
      <c r="G37">
        <v>8</v>
      </c>
      <c r="H37">
        <v>1224.83</v>
      </c>
    </row>
    <row r="38" spans="1:8" x14ac:dyDescent="0.3">
      <c r="A38" s="1">
        <v>46148</v>
      </c>
      <c r="B38">
        <v>2026</v>
      </c>
      <c r="C38">
        <v>5</v>
      </c>
      <c r="D38" t="s">
        <v>14</v>
      </c>
      <c r="E38" t="s">
        <v>9</v>
      </c>
      <c r="F38" t="s">
        <v>10</v>
      </c>
      <c r="G38">
        <v>9</v>
      </c>
      <c r="H38">
        <v>1111.76</v>
      </c>
    </row>
    <row r="39" spans="1:8" x14ac:dyDescent="0.3">
      <c r="A39" s="1">
        <v>45810</v>
      </c>
      <c r="B39">
        <v>2025</v>
      </c>
      <c r="C39">
        <v>6</v>
      </c>
      <c r="D39" t="s">
        <v>16</v>
      </c>
      <c r="E39" t="s">
        <v>9</v>
      </c>
      <c r="F39" t="s">
        <v>10</v>
      </c>
      <c r="G39">
        <v>2</v>
      </c>
      <c r="H39">
        <v>1334.39</v>
      </c>
    </row>
    <row r="40" spans="1:8" x14ac:dyDescent="0.3">
      <c r="A40" s="1">
        <v>46041</v>
      </c>
      <c r="B40">
        <v>2026</v>
      </c>
      <c r="C40">
        <v>1</v>
      </c>
      <c r="D40" t="s">
        <v>14</v>
      </c>
      <c r="E40" t="s">
        <v>9</v>
      </c>
      <c r="F40" t="s">
        <v>10</v>
      </c>
      <c r="G40">
        <v>2</v>
      </c>
      <c r="H40">
        <v>917.19</v>
      </c>
    </row>
    <row r="41" spans="1:8" x14ac:dyDescent="0.3">
      <c r="A41" s="1">
        <v>45970</v>
      </c>
      <c r="B41">
        <v>2025</v>
      </c>
      <c r="C41">
        <v>11</v>
      </c>
      <c r="D41" t="s">
        <v>12</v>
      </c>
      <c r="E41" t="s">
        <v>13</v>
      </c>
      <c r="F41" t="s">
        <v>15</v>
      </c>
      <c r="G41">
        <v>7</v>
      </c>
      <c r="H41">
        <v>733</v>
      </c>
    </row>
    <row r="42" spans="1:8" x14ac:dyDescent="0.3">
      <c r="A42" s="1">
        <v>46108</v>
      </c>
      <c r="B42">
        <v>2026</v>
      </c>
      <c r="C42">
        <v>3</v>
      </c>
      <c r="D42" t="s">
        <v>12</v>
      </c>
      <c r="E42" t="s">
        <v>13</v>
      </c>
      <c r="F42" t="s">
        <v>10</v>
      </c>
      <c r="G42">
        <v>9</v>
      </c>
      <c r="H42">
        <v>1256.77</v>
      </c>
    </row>
    <row r="43" spans="1:8" x14ac:dyDescent="0.3">
      <c r="A43" s="1">
        <v>46107</v>
      </c>
      <c r="B43">
        <v>2026</v>
      </c>
      <c r="C43">
        <v>3</v>
      </c>
      <c r="D43" t="s">
        <v>12</v>
      </c>
      <c r="E43" t="s">
        <v>13</v>
      </c>
      <c r="F43" t="s">
        <v>10</v>
      </c>
      <c r="G43">
        <v>10</v>
      </c>
      <c r="H43">
        <v>719.96</v>
      </c>
    </row>
    <row r="44" spans="1:8" x14ac:dyDescent="0.3">
      <c r="A44" s="1">
        <v>46142</v>
      </c>
      <c r="B44">
        <v>2026</v>
      </c>
      <c r="C44">
        <v>4</v>
      </c>
      <c r="D44" t="s">
        <v>12</v>
      </c>
      <c r="E44" t="s">
        <v>13</v>
      </c>
      <c r="F44" t="s">
        <v>10</v>
      </c>
      <c r="G44">
        <v>7</v>
      </c>
      <c r="H44">
        <v>1276.46</v>
      </c>
    </row>
    <row r="45" spans="1:8" x14ac:dyDescent="0.3">
      <c r="A45" s="1">
        <v>46054</v>
      </c>
      <c r="B45">
        <v>2026</v>
      </c>
      <c r="C45">
        <v>2</v>
      </c>
      <c r="D45" t="s">
        <v>12</v>
      </c>
      <c r="E45" t="s">
        <v>13</v>
      </c>
      <c r="F45" t="s">
        <v>15</v>
      </c>
      <c r="G45">
        <v>10</v>
      </c>
      <c r="H45">
        <v>1232.67</v>
      </c>
    </row>
    <row r="46" spans="1:8" x14ac:dyDescent="0.3">
      <c r="A46" s="1">
        <v>46123</v>
      </c>
      <c r="B46">
        <v>2026</v>
      </c>
      <c r="C46">
        <v>4</v>
      </c>
      <c r="D46" t="s">
        <v>16</v>
      </c>
      <c r="E46" t="s">
        <v>9</v>
      </c>
      <c r="F46" t="s">
        <v>15</v>
      </c>
      <c r="G46">
        <v>9</v>
      </c>
      <c r="H46">
        <v>659.32</v>
      </c>
    </row>
    <row r="47" spans="1:8" x14ac:dyDescent="0.3">
      <c r="A47" s="1">
        <v>45964</v>
      </c>
      <c r="B47">
        <v>2025</v>
      </c>
      <c r="C47">
        <v>11</v>
      </c>
      <c r="D47" t="s">
        <v>14</v>
      </c>
      <c r="E47" t="s">
        <v>9</v>
      </c>
      <c r="F47" t="s">
        <v>10</v>
      </c>
      <c r="G47">
        <v>9</v>
      </c>
      <c r="H47">
        <v>717.77</v>
      </c>
    </row>
    <row r="48" spans="1:8" x14ac:dyDescent="0.3">
      <c r="A48" s="1">
        <v>45965</v>
      </c>
      <c r="B48">
        <v>2025</v>
      </c>
      <c r="C48">
        <v>11</v>
      </c>
      <c r="D48" t="s">
        <v>14</v>
      </c>
      <c r="E48" t="s">
        <v>9</v>
      </c>
      <c r="F48" t="s">
        <v>10</v>
      </c>
      <c r="G48">
        <v>5</v>
      </c>
      <c r="H48">
        <v>986.33</v>
      </c>
    </row>
    <row r="49" spans="1:8" x14ac:dyDescent="0.3">
      <c r="A49" s="1">
        <v>46070</v>
      </c>
      <c r="B49">
        <v>2026</v>
      </c>
      <c r="C49">
        <v>2</v>
      </c>
      <c r="D49" t="s">
        <v>8</v>
      </c>
      <c r="E49" t="s">
        <v>9</v>
      </c>
      <c r="F49" t="s">
        <v>11</v>
      </c>
      <c r="G49">
        <v>3</v>
      </c>
      <c r="H49">
        <v>1011.42</v>
      </c>
    </row>
    <row r="50" spans="1:8" x14ac:dyDescent="0.3">
      <c r="A50" s="1">
        <v>46148</v>
      </c>
      <c r="B50">
        <v>2026</v>
      </c>
      <c r="C50">
        <v>5</v>
      </c>
      <c r="D50" t="s">
        <v>8</v>
      </c>
      <c r="E50" t="s">
        <v>9</v>
      </c>
      <c r="F50" t="s">
        <v>10</v>
      </c>
      <c r="G50">
        <v>10</v>
      </c>
      <c r="H50">
        <v>577.73</v>
      </c>
    </row>
    <row r="51" spans="1:8" x14ac:dyDescent="0.3">
      <c r="A51" s="1">
        <v>46122</v>
      </c>
      <c r="B51">
        <v>2026</v>
      </c>
      <c r="C51">
        <v>4</v>
      </c>
      <c r="D51" t="s">
        <v>14</v>
      </c>
      <c r="E51" t="s">
        <v>9</v>
      </c>
      <c r="F51" t="s">
        <v>10</v>
      </c>
      <c r="G51">
        <v>9</v>
      </c>
      <c r="H51">
        <v>1065.83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F0AC-E807-4A8B-B45D-C5574EA7E8E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0B6E04-34E8-4912-B7C8-2953CA3639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Аркуш3</vt:lpstr>
      <vt:lpstr>Аркуш2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Durusik</dc:creator>
  <cp:lastModifiedBy>Durusik</cp:lastModifiedBy>
  <dcterms:created xsi:type="dcterms:W3CDTF">2026-05-12T16:18:23Z</dcterms:created>
  <dcterms:modified xsi:type="dcterms:W3CDTF">2026-05-12T17:17:44Z</dcterms:modified>
</cp:coreProperties>
</file>